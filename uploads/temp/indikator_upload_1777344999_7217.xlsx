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8_{20B1C1B1-5BAA-4EDE-AD38-7AA4D3221C65}" xr6:coauthVersionLast="47" xr6:coauthVersionMax="47" xr10:uidLastSave="{00000000-0000-0000-0000-000000000000}"/>
  <bookViews>
    <workbookView xWindow="-110" yWindow="-110" windowWidth="19420" windowHeight="12220" xr2:uid="{AFB8C1B9-0976-4362-9026-160F0EE588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0" i="1" l="1"/>
  <c r="R19" i="1"/>
  <c r="S19" i="1" s="1"/>
  <c r="T19" i="1" s="1"/>
  <c r="T20" i="1" s="1"/>
  <c r="G18" i="1"/>
  <c r="R17" i="1"/>
  <c r="S17" i="1" s="1"/>
  <c r="T17" i="1" s="1"/>
  <c r="R16" i="1"/>
  <c r="S16" i="1" s="1"/>
  <c r="T16" i="1" s="1"/>
  <c r="R15" i="1"/>
  <c r="S15" i="1" s="1"/>
  <c r="T15" i="1" s="1"/>
  <c r="S14" i="1"/>
  <c r="T14" i="1" s="1"/>
  <c r="R14" i="1"/>
  <c r="S13" i="1"/>
  <c r="T13" i="1" s="1"/>
  <c r="R13" i="1"/>
  <c r="R12" i="1"/>
  <c r="S12" i="1" s="1"/>
  <c r="T12" i="1" s="1"/>
  <c r="T18" i="1" s="1"/>
  <c r="G11" i="1"/>
  <c r="R10" i="1"/>
  <c r="S10" i="1" s="1"/>
  <c r="T10" i="1" s="1"/>
  <c r="R9" i="1"/>
  <c r="S9" i="1" s="1"/>
  <c r="T9" i="1" s="1"/>
  <c r="R8" i="1"/>
  <c r="S8" i="1" s="1"/>
  <c r="T8" i="1" s="1"/>
  <c r="R7" i="1"/>
  <c r="S7" i="1" s="1"/>
  <c r="T7" i="1" s="1"/>
  <c r="R6" i="1"/>
  <c r="S6" i="1" s="1"/>
  <c r="T6" i="1" s="1"/>
  <c r="T11" i="1" s="1"/>
  <c r="T5" i="1"/>
  <c r="G5" i="1"/>
  <c r="G23" i="1" s="1"/>
  <c r="T23" i="1" l="1"/>
</calcChain>
</file>

<file path=xl/sharedStrings.xml><?xml version="1.0" encoding="utf-8"?>
<sst xmlns="http://schemas.openxmlformats.org/spreadsheetml/2006/main" count="67" uniqueCount="56">
  <si>
    <t>Perspektif</t>
  </si>
  <si>
    <t>Sasaran Kerja</t>
  </si>
  <si>
    <t>Bobot (%)</t>
  </si>
  <si>
    <t>Indikator</t>
  </si>
  <si>
    <t>Target</t>
  </si>
  <si>
    <t xml:space="preserve">Batas Waktu </t>
  </si>
  <si>
    <t>Realisasi</t>
  </si>
  <si>
    <t>Pencapaian
(%)</t>
  </si>
  <si>
    <t>Nilai</t>
  </si>
  <si>
    <t>Nilai Dibobot</t>
  </si>
  <si>
    <t>(a)</t>
  </si>
  <si>
    <t>(b)</t>
  </si>
  <si>
    <t>(c)</t>
  </si>
  <si>
    <t>(d)</t>
  </si>
  <si>
    <t>(e)</t>
  </si>
  <si>
    <t>(f)</t>
  </si>
  <si>
    <t>(g)</t>
  </si>
  <si>
    <t>(h)</t>
  </si>
  <si>
    <t>(i)</t>
  </si>
  <si>
    <t>(j)</t>
  </si>
  <si>
    <t>Keuangan (F)</t>
  </si>
  <si>
    <t>Meningkatnya Pertumbuhan Laba &amp; Pertumbuhan Aset</t>
  </si>
  <si>
    <t>Sub Total Bobot Keuangan</t>
  </si>
  <si>
    <t>Sub Total Nilai Keuangan Dibobot</t>
  </si>
  <si>
    <t>Pelanggan (C)</t>
  </si>
  <si>
    <t>1.</t>
  </si>
  <si>
    <t>Peningkatan Bisns</t>
  </si>
  <si>
    <t>Pertumbuhan DPK Sebesar Rp ...</t>
  </si>
  <si>
    <t>2.</t>
  </si>
  <si>
    <t>NoA Baru Tabungan sebanyak … Nasabah</t>
  </si>
  <si>
    <t>3.</t>
  </si>
  <si>
    <t>Nasabah Baru BRKS Mobile sebanyak ... Nasabah</t>
  </si>
  <si>
    <t xml:space="preserve">2. </t>
  </si>
  <si>
    <t xml:space="preserve">Pemenuhan kebutuhan dan kepuasan nasabah
Pemenuhan kebutuhan dan kepuasan nasabah
</t>
  </si>
  <si>
    <t>Persentase Penyelesaian Pengaduan Nasabah Sesuai SLA Minimal 95%</t>
  </si>
  <si>
    <t>Indeks Kualitas Pelayanan People (Customer Service) Minimal 85</t>
  </si>
  <si>
    <t>Sub Total Bobot Pelanggan</t>
  </si>
  <si>
    <t>Sub Total Nilai Pelanggan Dibobot</t>
  </si>
  <si>
    <t>Proses Internal (IP)</t>
  </si>
  <si>
    <t>Meningkatkan Pemenuhan SLA &amp; Standarisasi Kinerja</t>
  </si>
  <si>
    <t>Maksimal Kesalahan 2 Kali Sebulan</t>
  </si>
  <si>
    <t>Proses Administrasi dan Laporan Tepat Waktu</t>
  </si>
  <si>
    <t>Pembukaan Rekening Nasabah sesuai SLA</t>
  </si>
  <si>
    <t>Meningkatkan Tata Kelola &amp; Kepatuhan Yang Efektif</t>
  </si>
  <si>
    <t>Pengkinian Data Nasabah Sebanyak ... Rekening</t>
  </si>
  <si>
    <t>Zero Denda Pihak Eksternal</t>
  </si>
  <si>
    <t>Terselesainya Tindak Lanjut Temuan Internal, Eksternal dan QACA Tepat Waktu</t>
  </si>
  <si>
    <t>Sub Total Bobot Proses Internal</t>
  </si>
  <si>
    <t>Sub Total Nilai Proses Internal Dibobot</t>
  </si>
  <si>
    <t>Pembelajaran &amp; Pertumbuhan (LG)</t>
  </si>
  <si>
    <t>Internalisasi Niai Budaya dan Perilaku Utama</t>
  </si>
  <si>
    <t>Indeks Internalisasi Nilai Budaya dan Perilaku Utama 100%</t>
  </si>
  <si>
    <t>Sub Total Bobot Pembelajaran &amp; Pertumbuhan</t>
  </si>
  <si>
    <t>Sub Total Nilai Pembelajaran &amp; Pertumbuhan Dibobot</t>
  </si>
  <si>
    <t xml:space="preserve">Total Bobot </t>
  </si>
  <si>
    <t>Total Nilai Sasaran Kerja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</si>
</sst>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(* #,##0.00_);_(* \(#,##0.00\);_(* &quot;-&quot;??_);_(@_)"/>
    <numFmt numFmtId="165" formatCode="_-[$Rp-421]* #,##0.00_-;\-[$Rp-421]* #,##0.00_-;_-[$Rp-421]* &quot;-&quot;_-;_-@_-"/>
    <numFmt numFmtId="166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9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0"/>
      <color theme="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9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</cellStyleXfs>
  <cellXfs count="101">
    <xf numFmtId="0" fontId="0" fillId="0" borderId="0" xfId="0"/>
    <xf numFmtId="0" fontId="3" fillId="2" borderId="1" xfId="2" applyFont="1" applyFill="1" applyBorder="1" applyAlignment="1" applyProtection="1">
      <alignment horizontal="center" vertical="center" wrapText="1"/>
      <protection hidden="1"/>
    </xf>
    <xf numFmtId="0" fontId="3" fillId="2" borderId="2" xfId="2" applyFont="1" applyFill="1" applyBorder="1" applyAlignment="1" applyProtection="1">
      <alignment horizontal="center" vertical="center" wrapText="1"/>
      <protection hidden="1"/>
    </xf>
    <xf numFmtId="0" fontId="3" fillId="2" borderId="3" xfId="2" applyFont="1" applyFill="1" applyBorder="1" applyAlignment="1" applyProtection="1">
      <alignment horizontal="center" vertical="center" wrapText="1"/>
      <protection hidden="1"/>
    </xf>
    <xf numFmtId="0" fontId="3" fillId="2" borderId="4" xfId="2" applyFont="1" applyFill="1" applyBorder="1" applyAlignment="1" applyProtection="1">
      <alignment horizontal="center" vertical="center" wrapText="1"/>
      <protection hidden="1"/>
    </xf>
    <xf numFmtId="0" fontId="3" fillId="2" borderId="5" xfId="2" applyFont="1" applyFill="1" applyBorder="1" applyAlignment="1" applyProtection="1">
      <alignment horizontal="center" vertical="center" wrapText="1"/>
      <protection hidden="1"/>
    </xf>
    <xf numFmtId="0" fontId="3" fillId="2" borderId="6" xfId="2" applyFont="1" applyFill="1" applyBorder="1" applyAlignment="1" applyProtection="1">
      <alignment horizontal="center" vertical="center" wrapText="1"/>
      <protection hidden="1"/>
    </xf>
    <xf numFmtId="0" fontId="3" fillId="2" borderId="7" xfId="2" applyFont="1" applyFill="1" applyBorder="1" applyAlignment="1" applyProtection="1">
      <alignment horizontal="center" vertical="center" wrapText="1"/>
      <protection hidden="1"/>
    </xf>
    <xf numFmtId="0" fontId="4" fillId="3" borderId="6" xfId="2" applyFont="1" applyFill="1" applyBorder="1" applyAlignment="1" applyProtection="1">
      <alignment horizontal="center" vertical="center" wrapText="1"/>
      <protection hidden="1"/>
    </xf>
    <xf numFmtId="0" fontId="3" fillId="3" borderId="6" xfId="2" applyFont="1" applyFill="1" applyBorder="1" applyAlignment="1" applyProtection="1">
      <alignment horizontal="center" vertical="center" wrapText="1"/>
      <protection hidden="1"/>
    </xf>
    <xf numFmtId="0" fontId="3" fillId="2" borderId="8" xfId="2" applyFont="1" applyFill="1" applyBorder="1" applyAlignment="1" applyProtection="1">
      <alignment horizontal="center" vertical="center" wrapText="1"/>
      <protection hidden="1"/>
    </xf>
    <xf numFmtId="0" fontId="2" fillId="0" borderId="9" xfId="3" applyBorder="1" applyAlignment="1" applyProtection="1">
      <alignment horizontal="center" vertical="center" wrapText="1"/>
      <protection hidden="1"/>
    </xf>
    <xf numFmtId="0" fontId="2" fillId="0" borderId="10" xfId="3" applyBorder="1" applyAlignment="1" applyProtection="1">
      <alignment horizontal="center" vertical="center" wrapText="1"/>
      <protection hidden="1"/>
    </xf>
    <xf numFmtId="0" fontId="2" fillId="0" borderId="11" xfId="3" applyBorder="1" applyAlignment="1" applyProtection="1">
      <alignment horizontal="center" vertical="center" wrapText="1"/>
      <protection hidden="1"/>
    </xf>
    <xf numFmtId="0" fontId="2" fillId="0" borderId="12" xfId="3" applyBorder="1" applyAlignment="1" applyProtection="1">
      <alignment horizontal="center" vertical="center" wrapText="1"/>
      <protection hidden="1"/>
    </xf>
    <xf numFmtId="0" fontId="2" fillId="0" borderId="13" xfId="3" quotePrefix="1" applyBorder="1" applyAlignment="1" applyProtection="1">
      <alignment horizontal="center" vertical="center" wrapText="1"/>
      <protection hidden="1"/>
    </xf>
    <xf numFmtId="0" fontId="2" fillId="0" borderId="14" xfId="3" applyBorder="1" applyAlignment="1" applyProtection="1">
      <alignment horizontal="center" vertical="center" wrapText="1"/>
      <protection hidden="1"/>
    </xf>
    <xf numFmtId="0" fontId="2" fillId="0" borderId="15" xfId="3" applyBorder="1" applyAlignment="1" applyProtection="1">
      <alignment horizontal="center" vertical="center" wrapText="1"/>
      <protection hidden="1"/>
    </xf>
    <xf numFmtId="0" fontId="2" fillId="0" borderId="16" xfId="3" applyBorder="1" applyAlignment="1" applyProtection="1">
      <alignment horizontal="center" vertical="center" wrapText="1"/>
      <protection hidden="1"/>
    </xf>
    <xf numFmtId="0" fontId="2" fillId="0" borderId="17" xfId="3" applyBorder="1" applyAlignment="1" applyProtection="1">
      <alignment horizontal="center" vertical="center" wrapText="1"/>
      <protection hidden="1"/>
    </xf>
    <xf numFmtId="0" fontId="2" fillId="0" borderId="18" xfId="3" applyBorder="1" applyAlignment="1" applyProtection="1">
      <alignment vertical="center" wrapText="1"/>
      <protection hidden="1"/>
    </xf>
    <xf numFmtId="0" fontId="2" fillId="0" borderId="19" xfId="3" applyBorder="1" applyAlignment="1" applyProtection="1">
      <alignment vertical="center" wrapText="1"/>
      <protection hidden="1"/>
    </xf>
    <xf numFmtId="0" fontId="2" fillId="0" borderId="20" xfId="3" applyBorder="1" applyAlignment="1" applyProtection="1">
      <alignment vertical="center" wrapText="1"/>
      <protection hidden="1"/>
    </xf>
    <xf numFmtId="0" fontId="2" fillId="0" borderId="21" xfId="3" applyBorder="1" applyAlignment="1" applyProtection="1">
      <alignment vertical="center" wrapText="1"/>
      <protection hidden="1"/>
    </xf>
    <xf numFmtId="0" fontId="2" fillId="0" borderId="22" xfId="3" quotePrefix="1" applyBorder="1" applyAlignment="1" applyProtection="1">
      <alignment horizontal="left" vertical="top" wrapText="1"/>
      <protection hidden="1"/>
    </xf>
    <xf numFmtId="0" fontId="2" fillId="0" borderId="23" xfId="3" quotePrefix="1" applyBorder="1" applyAlignment="1" applyProtection="1">
      <alignment horizontal="left" vertical="top" wrapText="1"/>
      <protection hidden="1"/>
    </xf>
    <xf numFmtId="0" fontId="2" fillId="0" borderId="24" xfId="3" quotePrefix="1" applyBorder="1" applyAlignment="1" applyProtection="1">
      <alignment horizontal="left" vertical="top" wrapText="1"/>
      <protection hidden="1"/>
    </xf>
    <xf numFmtId="0" fontId="2" fillId="0" borderId="25" xfId="3" quotePrefix="1" applyBorder="1" applyAlignment="1" applyProtection="1">
      <alignment horizontal="left" vertical="top" wrapText="1"/>
      <protection hidden="1"/>
    </xf>
    <xf numFmtId="38" fontId="2" fillId="0" borderId="26" xfId="4" applyNumberFormat="1" applyFont="1" applyFill="1" applyBorder="1" applyAlignment="1" applyProtection="1">
      <alignment horizontal="center" vertical="top" wrapText="1"/>
      <protection locked="0"/>
    </xf>
    <xf numFmtId="0" fontId="2" fillId="0" borderId="20" xfId="2" quotePrefix="1" applyBorder="1" applyAlignment="1" applyProtection="1">
      <alignment horizontal="center" vertical="top" wrapText="1"/>
      <protection hidden="1"/>
    </xf>
    <xf numFmtId="0" fontId="2" fillId="0" borderId="19" xfId="2" quotePrefix="1" applyBorder="1" applyAlignment="1" applyProtection="1">
      <alignment horizontal="left" vertical="top" wrapText="1"/>
      <protection hidden="1"/>
    </xf>
    <xf numFmtId="0" fontId="2" fillId="0" borderId="27" xfId="2" quotePrefix="1" applyBorder="1" applyAlignment="1" applyProtection="1">
      <alignment horizontal="left" vertical="top" wrapText="1"/>
      <protection hidden="1"/>
    </xf>
    <xf numFmtId="165" fontId="2" fillId="0" borderId="27" xfId="2" quotePrefix="1" applyNumberFormat="1" applyBorder="1" applyAlignment="1" applyProtection="1">
      <alignment horizontal="center" vertical="top" wrapText="1"/>
      <protection hidden="1"/>
    </xf>
    <xf numFmtId="15" fontId="5" fillId="0" borderId="26" xfId="0" applyNumberFormat="1" applyFont="1" applyBorder="1" applyAlignment="1" applyProtection="1">
      <alignment horizontal="center" vertical="top" wrapText="1"/>
      <protection locked="0"/>
    </xf>
    <xf numFmtId="2" fontId="6" fillId="0" borderId="26" xfId="5" applyNumberFormat="1" applyFont="1" applyFill="1" applyBorder="1" applyAlignment="1">
      <alignment horizontal="center" vertical="top"/>
    </xf>
    <xf numFmtId="2" fontId="5" fillId="0" borderId="16" xfId="4" applyNumberFormat="1" applyFont="1" applyFill="1" applyBorder="1" applyAlignment="1" applyProtection="1">
      <alignment horizontal="center" vertical="top"/>
      <protection hidden="1"/>
    </xf>
    <xf numFmtId="164" fontId="5" fillId="0" borderId="17" xfId="4" quotePrefix="1" applyFont="1" applyFill="1" applyBorder="1" applyAlignment="1" applyProtection="1">
      <alignment horizontal="center" vertical="top"/>
      <protection hidden="1"/>
    </xf>
    <xf numFmtId="0" fontId="2" fillId="4" borderId="18" xfId="3" quotePrefix="1" applyFill="1" applyBorder="1" applyAlignment="1" applyProtection="1">
      <alignment horizontal="center" vertical="center" wrapText="1"/>
      <protection hidden="1"/>
    </xf>
    <xf numFmtId="0" fontId="2" fillId="4" borderId="19" xfId="3" quotePrefix="1" applyFill="1" applyBorder="1" applyAlignment="1" applyProtection="1">
      <alignment horizontal="center" vertical="center" wrapText="1"/>
      <protection hidden="1"/>
    </xf>
    <xf numFmtId="0" fontId="2" fillId="4" borderId="27" xfId="3" quotePrefix="1" applyFill="1" applyBorder="1" applyAlignment="1" applyProtection="1">
      <alignment horizontal="center" vertical="center" wrapText="1"/>
      <protection hidden="1"/>
    </xf>
    <xf numFmtId="38" fontId="2" fillId="4" borderId="26" xfId="4" applyNumberFormat="1" applyFont="1" applyFill="1" applyBorder="1" applyAlignment="1" applyProtection="1">
      <alignment horizontal="center" vertical="center" wrapText="1"/>
      <protection locked="0"/>
    </xf>
    <xf numFmtId="0" fontId="2" fillId="4" borderId="20" xfId="2" quotePrefix="1" applyFill="1" applyBorder="1" applyAlignment="1" applyProtection="1">
      <alignment horizontal="center" vertical="center" wrapText="1"/>
      <protection hidden="1"/>
    </xf>
    <xf numFmtId="0" fontId="2" fillId="4" borderId="19" xfId="2" quotePrefix="1" applyFill="1" applyBorder="1" applyAlignment="1" applyProtection="1">
      <alignment horizontal="center" vertical="center" wrapText="1"/>
      <protection hidden="1"/>
    </xf>
    <xf numFmtId="0" fontId="2" fillId="4" borderId="27" xfId="2" quotePrefix="1" applyFill="1" applyBorder="1" applyAlignment="1" applyProtection="1">
      <alignment horizontal="center" vertical="center" wrapText="1"/>
      <protection hidden="1"/>
    </xf>
    <xf numFmtId="164" fontId="5" fillId="4" borderId="17" xfId="4" quotePrefix="1" applyFont="1" applyFill="1" applyBorder="1" applyAlignment="1" applyProtection="1">
      <alignment horizontal="center" vertical="center"/>
      <protection hidden="1"/>
    </xf>
    <xf numFmtId="0" fontId="2" fillId="0" borderId="24" xfId="3" quotePrefix="1" applyBorder="1" applyAlignment="1" applyProtection="1">
      <alignment horizontal="center" vertical="top" wrapText="1"/>
      <protection hidden="1"/>
    </xf>
    <xf numFmtId="0" fontId="5" fillId="5" borderId="19" xfId="0" applyFont="1" applyFill="1" applyBorder="1" applyAlignment="1" applyProtection="1">
      <alignment horizontal="left" vertical="top" wrapText="1"/>
      <protection locked="0"/>
    </xf>
    <xf numFmtId="0" fontId="5" fillId="5" borderId="27" xfId="0" applyFont="1" applyFill="1" applyBorder="1" applyAlignment="1" applyProtection="1">
      <alignment horizontal="left" vertical="top" wrapText="1"/>
      <protection locked="0"/>
    </xf>
    <xf numFmtId="2" fontId="2" fillId="0" borderId="26" xfId="4" applyNumberFormat="1" applyFont="1" applyFill="1" applyBorder="1" applyAlignment="1" applyProtection="1">
      <alignment horizontal="center" vertical="top"/>
      <protection locked="0"/>
    </xf>
    <xf numFmtId="164" fontId="5" fillId="0" borderId="17" xfId="4" quotePrefix="1" applyFont="1" applyBorder="1" applyAlignment="1" applyProtection="1">
      <alignment horizontal="center" vertical="top"/>
      <protection hidden="1"/>
    </xf>
    <xf numFmtId="0" fontId="2" fillId="0" borderId="28" xfId="3" quotePrefix="1" applyBorder="1" applyAlignment="1" applyProtection="1">
      <alignment horizontal="left" vertical="top" wrapText="1"/>
      <protection hidden="1"/>
    </xf>
    <xf numFmtId="0" fontId="2" fillId="0" borderId="29" xfId="3" quotePrefix="1" applyBorder="1" applyAlignment="1" applyProtection="1">
      <alignment horizontal="left" vertical="top" wrapText="1"/>
      <protection hidden="1"/>
    </xf>
    <xf numFmtId="0" fontId="2" fillId="0" borderId="30" xfId="3" quotePrefix="1" applyBorder="1" applyAlignment="1" applyProtection="1">
      <alignment vertical="top" wrapText="1"/>
      <protection hidden="1"/>
    </xf>
    <xf numFmtId="0" fontId="2" fillId="0" borderId="0" xfId="3" quotePrefix="1" applyAlignment="1" applyProtection="1">
      <alignment horizontal="left" vertical="top" wrapText="1"/>
      <protection hidden="1"/>
    </xf>
    <xf numFmtId="0" fontId="2" fillId="5" borderId="19" xfId="2" quotePrefix="1" applyFill="1" applyBorder="1" applyAlignment="1" applyProtection="1">
      <alignment horizontal="left" vertical="top" wrapText="1"/>
      <protection hidden="1"/>
    </xf>
    <xf numFmtId="0" fontId="2" fillId="5" borderId="27" xfId="2" quotePrefix="1" applyFill="1" applyBorder="1" applyAlignment="1" applyProtection="1">
      <alignment horizontal="left" vertical="top" wrapText="1"/>
      <protection hidden="1"/>
    </xf>
    <xf numFmtId="0" fontId="2" fillId="0" borderId="27" xfId="2" quotePrefix="1" applyBorder="1" applyAlignment="1" applyProtection="1">
      <alignment horizontal="center" vertical="top" wrapText="1"/>
      <protection hidden="1"/>
    </xf>
    <xf numFmtId="0" fontId="2" fillId="0" borderId="14" xfId="3" quotePrefix="1" applyBorder="1" applyAlignment="1" applyProtection="1">
      <alignment vertical="top" wrapText="1"/>
      <protection hidden="1"/>
    </xf>
    <xf numFmtId="0" fontId="2" fillId="0" borderId="15" xfId="3" quotePrefix="1" applyBorder="1" applyAlignment="1" applyProtection="1">
      <alignment horizontal="left" vertical="top" wrapText="1"/>
      <protection hidden="1"/>
    </xf>
    <xf numFmtId="0" fontId="2" fillId="0" borderId="31" xfId="3" quotePrefix="1" applyBorder="1" applyAlignment="1" applyProtection="1">
      <alignment horizontal="left" vertical="top" wrapText="1"/>
      <protection hidden="1"/>
    </xf>
    <xf numFmtId="0" fontId="2" fillId="0" borderId="30" xfId="3" quotePrefix="1" applyBorder="1" applyAlignment="1" applyProtection="1">
      <alignment horizontal="center" vertical="top" wrapText="1"/>
      <protection hidden="1"/>
    </xf>
    <xf numFmtId="10" fontId="2" fillId="0" borderId="27" xfId="2" quotePrefix="1" applyNumberFormat="1" applyBorder="1" applyAlignment="1" applyProtection="1">
      <alignment horizontal="center" vertical="top" wrapText="1"/>
      <protection hidden="1"/>
    </xf>
    <xf numFmtId="0" fontId="2" fillId="0" borderId="32" xfId="3" quotePrefix="1" applyBorder="1" applyAlignment="1" applyProtection="1">
      <alignment horizontal="left" vertical="top" wrapText="1"/>
      <protection hidden="1"/>
    </xf>
    <xf numFmtId="0" fontId="2" fillId="0" borderId="24" xfId="3" quotePrefix="1" applyBorder="1" applyAlignment="1" applyProtection="1">
      <alignment horizontal="center" vertical="top" wrapText="1"/>
      <protection hidden="1"/>
    </xf>
    <xf numFmtId="0" fontId="2" fillId="0" borderId="30" xfId="3" quotePrefix="1" applyBorder="1" applyAlignment="1" applyProtection="1">
      <alignment horizontal="center" vertical="top" wrapText="1"/>
      <protection hidden="1"/>
    </xf>
    <xf numFmtId="0" fontId="2" fillId="0" borderId="0" xfId="3" quotePrefix="1" applyAlignment="1" applyProtection="1">
      <alignment horizontal="left" vertical="top" wrapText="1"/>
      <protection hidden="1"/>
    </xf>
    <xf numFmtId="0" fontId="2" fillId="0" borderId="29" xfId="3" quotePrefix="1" applyBorder="1" applyAlignment="1" applyProtection="1">
      <alignment horizontal="left" vertical="top" wrapText="1"/>
      <protection hidden="1"/>
    </xf>
    <xf numFmtId="38" fontId="2" fillId="5" borderId="26" xfId="4" applyNumberFormat="1" applyFont="1" applyFill="1" applyBorder="1" applyAlignment="1" applyProtection="1">
      <alignment horizontal="center" vertical="top" wrapText="1"/>
      <protection locked="0"/>
    </xf>
    <xf numFmtId="0" fontId="2" fillId="0" borderId="27" xfId="1" quotePrefix="1" applyNumberFormat="1" applyFont="1" applyFill="1" applyBorder="1" applyAlignment="1" applyProtection="1">
      <alignment horizontal="center" vertical="top" wrapText="1"/>
      <protection hidden="1"/>
    </xf>
    <xf numFmtId="0" fontId="2" fillId="0" borderId="14" xfId="3" quotePrefix="1" applyBorder="1" applyAlignment="1" applyProtection="1">
      <alignment horizontal="center" vertical="top" wrapText="1"/>
      <protection hidden="1"/>
    </xf>
    <xf numFmtId="10" fontId="2" fillId="0" borderId="26" xfId="2" quotePrefix="1" applyNumberFormat="1" applyBorder="1" applyAlignment="1" applyProtection="1">
      <alignment horizontal="center" vertical="top" wrapText="1"/>
      <protection hidden="1"/>
    </xf>
    <xf numFmtId="0" fontId="2" fillId="0" borderId="20" xfId="3" quotePrefix="1" applyBorder="1" applyAlignment="1" applyProtection="1">
      <alignment horizontal="left" vertical="top" wrapText="1"/>
      <protection hidden="1"/>
    </xf>
    <xf numFmtId="0" fontId="2" fillId="0" borderId="19" xfId="3" quotePrefix="1" applyBorder="1" applyAlignment="1" applyProtection="1">
      <alignment horizontal="left" vertical="top" wrapText="1"/>
      <protection hidden="1"/>
    </xf>
    <xf numFmtId="0" fontId="2" fillId="0" borderId="27" xfId="3" quotePrefix="1" applyBorder="1" applyAlignment="1" applyProtection="1">
      <alignment horizontal="left" vertical="top" wrapText="1"/>
      <protection hidden="1"/>
    </xf>
    <xf numFmtId="38" fontId="2" fillId="0" borderId="33" xfId="4" applyNumberFormat="1" applyFont="1" applyFill="1" applyBorder="1" applyAlignment="1" applyProtection="1">
      <alignment horizontal="center" vertical="top" wrapText="1"/>
      <protection locked="0"/>
    </xf>
    <xf numFmtId="0" fontId="2" fillId="0" borderId="24" xfId="2" quotePrefix="1" applyBorder="1" applyAlignment="1" applyProtection="1">
      <alignment horizontal="left" vertical="top" wrapText="1"/>
      <protection hidden="1"/>
    </xf>
    <xf numFmtId="0" fontId="2" fillId="0" borderId="25" xfId="2" quotePrefix="1" applyBorder="1" applyAlignment="1" applyProtection="1">
      <alignment horizontal="left" vertical="top" wrapText="1"/>
      <protection hidden="1"/>
    </xf>
    <xf numFmtId="0" fontId="2" fillId="0" borderId="23" xfId="2" quotePrefix="1" applyBorder="1" applyAlignment="1" applyProtection="1">
      <alignment horizontal="left" vertical="top" wrapText="1"/>
      <protection hidden="1"/>
    </xf>
    <xf numFmtId="10" fontId="2" fillId="0" borderId="33" xfId="2" quotePrefix="1" applyNumberFormat="1" applyBorder="1" applyAlignment="1" applyProtection="1">
      <alignment horizontal="center" vertical="top" wrapText="1"/>
      <protection hidden="1"/>
    </xf>
    <xf numFmtId="38" fontId="2" fillId="0" borderId="19" xfId="3" applyNumberFormat="1" applyBorder="1" applyAlignment="1" applyProtection="1">
      <alignment vertical="center" wrapText="1"/>
      <protection hidden="1"/>
    </xf>
    <xf numFmtId="0" fontId="4" fillId="2" borderId="22" xfId="2" applyFont="1" applyFill="1" applyBorder="1" applyAlignment="1" applyProtection="1">
      <alignment vertical="center" wrapText="1"/>
      <protection hidden="1"/>
    </xf>
    <xf numFmtId="0" fontId="4" fillId="2" borderId="25" xfId="2" applyFont="1" applyFill="1" applyBorder="1" applyAlignment="1" applyProtection="1">
      <alignment vertical="center" wrapText="1"/>
      <protection hidden="1"/>
    </xf>
    <xf numFmtId="0" fontId="4" fillId="2" borderId="23" xfId="2" applyFont="1" applyFill="1" applyBorder="1" applyAlignment="1" applyProtection="1">
      <alignment vertical="center" wrapText="1"/>
      <protection hidden="1"/>
    </xf>
    <xf numFmtId="38" fontId="4" fillId="2" borderId="24" xfId="4" applyNumberFormat="1" applyFont="1" applyFill="1" applyBorder="1" applyAlignment="1" applyProtection="1">
      <alignment horizontal="center" vertical="center" wrapText="1"/>
      <protection hidden="1"/>
    </xf>
    <xf numFmtId="166" fontId="4" fillId="2" borderId="24" xfId="4" applyNumberFormat="1" applyFont="1" applyFill="1" applyBorder="1" applyAlignment="1" applyProtection="1">
      <alignment horizontal="center" vertical="center" wrapText="1"/>
      <protection hidden="1"/>
    </xf>
    <xf numFmtId="0" fontId="7" fillId="2" borderId="25" xfId="2" applyFont="1" applyFill="1" applyBorder="1" applyAlignment="1" applyProtection="1">
      <alignment vertical="center" wrapText="1"/>
      <protection hidden="1"/>
    </xf>
    <xf numFmtId="0" fontId="7" fillId="2" borderId="23" xfId="2" applyFont="1" applyFill="1" applyBorder="1" applyAlignment="1" applyProtection="1">
      <alignment vertical="center" wrapText="1"/>
      <protection hidden="1"/>
    </xf>
    <xf numFmtId="0" fontId="7" fillId="2" borderId="34" xfId="2" applyFont="1" applyFill="1" applyBorder="1" applyAlignment="1" applyProtection="1">
      <alignment vertical="center" wrapText="1"/>
      <protection hidden="1"/>
    </xf>
    <xf numFmtId="0" fontId="4" fillId="2" borderId="28" xfId="2" applyFont="1" applyFill="1" applyBorder="1" applyAlignment="1" applyProtection="1">
      <alignment horizontal="center" vertical="center" wrapText="1"/>
      <protection hidden="1"/>
    </xf>
    <xf numFmtId="0" fontId="4" fillId="2" borderId="0" xfId="2" applyFont="1" applyFill="1" applyAlignment="1" applyProtection="1">
      <alignment horizontal="center" vertical="center" wrapText="1"/>
      <protection hidden="1"/>
    </xf>
    <xf numFmtId="0" fontId="4" fillId="2" borderId="29" xfId="2" applyFont="1" applyFill="1" applyBorder="1" applyAlignment="1" applyProtection="1">
      <alignment horizontal="center" vertical="center" wrapText="1"/>
      <protection hidden="1"/>
    </xf>
    <xf numFmtId="38" fontId="4" fillId="2" borderId="30" xfId="4" applyNumberFormat="1" applyFont="1" applyFill="1" applyBorder="1" applyAlignment="1" applyProtection="1">
      <alignment horizontal="center" vertical="center"/>
      <protection hidden="1"/>
    </xf>
    <xf numFmtId="40" fontId="4" fillId="2" borderId="30" xfId="4" applyNumberFormat="1" applyFont="1" applyFill="1" applyBorder="1" applyAlignment="1" applyProtection="1">
      <alignment horizontal="center" vertical="center"/>
      <protection hidden="1"/>
    </xf>
    <xf numFmtId="40" fontId="4" fillId="2" borderId="35" xfId="4" applyNumberFormat="1" applyFont="1" applyFill="1" applyBorder="1" applyAlignment="1" applyProtection="1">
      <alignment horizontal="center" vertical="center"/>
      <protection hidden="1"/>
    </xf>
    <xf numFmtId="0" fontId="4" fillId="2" borderId="36" xfId="2" applyFont="1" applyFill="1" applyBorder="1" applyAlignment="1" applyProtection="1">
      <alignment wrapText="1"/>
      <protection hidden="1"/>
    </xf>
    <xf numFmtId="0" fontId="4" fillId="2" borderId="37" xfId="2" applyFont="1" applyFill="1" applyBorder="1" applyAlignment="1" applyProtection="1">
      <alignment wrapText="1"/>
      <protection hidden="1"/>
    </xf>
    <xf numFmtId="0" fontId="4" fillId="2" borderId="38" xfId="2" applyFont="1" applyFill="1" applyBorder="1" applyAlignment="1" applyProtection="1">
      <alignment wrapText="1"/>
      <protection hidden="1"/>
    </xf>
    <xf numFmtId="166" fontId="4" fillId="2" borderId="39" xfId="4" applyNumberFormat="1" applyFont="1" applyFill="1" applyBorder="1" applyProtection="1">
      <protection hidden="1"/>
    </xf>
    <xf numFmtId="0" fontId="7" fillId="2" borderId="37" xfId="2" applyFont="1" applyFill="1" applyBorder="1" applyAlignment="1" applyProtection="1">
      <alignment wrapText="1"/>
      <protection hidden="1"/>
    </xf>
    <xf numFmtId="0" fontId="7" fillId="2" borderId="38" xfId="2" applyFont="1" applyFill="1" applyBorder="1" applyAlignment="1" applyProtection="1">
      <alignment wrapText="1"/>
      <protection hidden="1"/>
    </xf>
    <xf numFmtId="0" fontId="7" fillId="2" borderId="40" xfId="2" applyFont="1" applyFill="1" applyBorder="1" applyAlignment="1" applyProtection="1">
      <alignment wrapText="1"/>
      <protection hidden="1"/>
    </xf>
  </cellXfs>
  <cellStyles count="6">
    <cellStyle name="Comma" xfId="1" builtinId="3"/>
    <cellStyle name="Comma [0] 2 37" xfId="5" xr:uid="{6CE5F886-6738-43EF-80C0-765104BFB951}"/>
    <cellStyle name="Comma 4" xfId="4" xr:uid="{0B48496F-EA5D-4B65-90F2-10A4ED01449B}"/>
    <cellStyle name="Normal" xfId="0" builtinId="0"/>
    <cellStyle name="Normal 10" xfId="3" xr:uid="{001D9AF4-0D1E-4AD8-9D16-FAF477551648}"/>
    <cellStyle name="Normal 2" xfId="2" xr:uid="{D8ECB0CC-A09D-4D35-8995-3D3D47AD967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A5E13-C48B-45B7-B96B-940681A75227}">
  <dimension ref="A1:T24"/>
  <sheetViews>
    <sheetView tabSelected="1" workbookViewId="0">
      <selection sqref="A1:T24"/>
    </sheetView>
  </sheetViews>
  <sheetFormatPr defaultRowHeight="14.5" x14ac:dyDescent="0.35"/>
  <sheetData>
    <row r="1" spans="1:20" ht="39.5" thickBot="1" x14ac:dyDescent="0.4">
      <c r="A1" s="1" t="s">
        <v>0</v>
      </c>
      <c r="B1" s="2"/>
      <c r="C1" s="3" t="s">
        <v>1</v>
      </c>
      <c r="D1" s="4"/>
      <c r="E1" s="4"/>
      <c r="F1" s="5"/>
      <c r="G1" s="6" t="s">
        <v>2</v>
      </c>
      <c r="H1" s="7" t="s">
        <v>3</v>
      </c>
      <c r="I1" s="4"/>
      <c r="J1" s="4"/>
      <c r="K1" s="4"/>
      <c r="L1" s="4"/>
      <c r="M1" s="4"/>
      <c r="N1" s="5"/>
      <c r="O1" s="8" t="s">
        <v>4</v>
      </c>
      <c r="P1" s="6" t="s">
        <v>5</v>
      </c>
      <c r="Q1" s="9" t="s">
        <v>6</v>
      </c>
      <c r="R1" s="6" t="s">
        <v>7</v>
      </c>
      <c r="S1" s="6" t="s">
        <v>8</v>
      </c>
      <c r="T1" s="10" t="s">
        <v>9</v>
      </c>
    </row>
    <row r="2" spans="1:20" x14ac:dyDescent="0.35">
      <c r="A2" s="11" t="s">
        <v>10</v>
      </c>
      <c r="B2" s="12"/>
      <c r="C2" s="13" t="s">
        <v>11</v>
      </c>
      <c r="D2" s="14"/>
      <c r="E2" s="14"/>
      <c r="F2" s="12"/>
      <c r="G2" s="15" t="s">
        <v>12</v>
      </c>
      <c r="H2" s="16"/>
      <c r="I2" s="17" t="s">
        <v>13</v>
      </c>
      <c r="J2" s="17"/>
      <c r="K2" s="17"/>
      <c r="L2" s="17"/>
      <c r="M2" s="17"/>
      <c r="N2" s="17"/>
      <c r="O2" s="15" t="s">
        <v>14</v>
      </c>
      <c r="P2" s="18" t="s">
        <v>15</v>
      </c>
      <c r="Q2" s="18" t="s">
        <v>16</v>
      </c>
      <c r="R2" s="18" t="s">
        <v>17</v>
      </c>
      <c r="S2" s="18" t="s">
        <v>18</v>
      </c>
      <c r="T2" s="19" t="s">
        <v>19</v>
      </c>
    </row>
    <row r="3" spans="1:20" x14ac:dyDescent="0.35">
      <c r="A3" s="20"/>
      <c r="B3" s="21"/>
      <c r="C3" s="22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3"/>
    </row>
    <row r="4" spans="1:20" x14ac:dyDescent="0.35">
      <c r="A4" s="24" t="s">
        <v>20</v>
      </c>
      <c r="B4" s="25"/>
      <c r="C4" s="26" t="s">
        <v>21</v>
      </c>
      <c r="D4" s="27"/>
      <c r="E4" s="27"/>
      <c r="F4" s="25"/>
      <c r="G4" s="28"/>
      <c r="H4" s="29"/>
      <c r="I4" s="30"/>
      <c r="J4" s="30"/>
      <c r="K4" s="30"/>
      <c r="L4" s="30"/>
      <c r="M4" s="30"/>
      <c r="N4" s="31"/>
      <c r="O4" s="32"/>
      <c r="P4" s="33"/>
      <c r="Q4" s="32"/>
      <c r="R4" s="34"/>
      <c r="S4" s="35"/>
      <c r="T4" s="36"/>
    </row>
    <row r="5" spans="1:20" x14ac:dyDescent="0.35">
      <c r="A5" s="37" t="s">
        <v>22</v>
      </c>
      <c r="B5" s="38"/>
      <c r="C5" s="38"/>
      <c r="D5" s="38"/>
      <c r="E5" s="38"/>
      <c r="F5" s="39"/>
      <c r="G5" s="40">
        <f>SUM(G4:G4)</f>
        <v>0</v>
      </c>
      <c r="H5" s="41" t="s">
        <v>23</v>
      </c>
      <c r="I5" s="42"/>
      <c r="J5" s="42"/>
      <c r="K5" s="42"/>
      <c r="L5" s="42"/>
      <c r="M5" s="42"/>
      <c r="N5" s="42"/>
      <c r="O5" s="42"/>
      <c r="P5" s="42"/>
      <c r="Q5" s="42"/>
      <c r="R5" s="42"/>
      <c r="S5" s="43"/>
      <c r="T5" s="44">
        <f>SUM(T4:T4)</f>
        <v>0</v>
      </c>
    </row>
    <row r="6" spans="1:20" x14ac:dyDescent="0.35">
      <c r="A6" s="24" t="s">
        <v>24</v>
      </c>
      <c r="B6" s="25"/>
      <c r="C6" s="45" t="s">
        <v>25</v>
      </c>
      <c r="D6" s="27" t="s">
        <v>26</v>
      </c>
      <c r="E6" s="27"/>
      <c r="F6" s="25"/>
      <c r="G6" s="28">
        <v>5</v>
      </c>
      <c r="H6" s="29" t="s">
        <v>25</v>
      </c>
      <c r="I6" s="46" t="s">
        <v>27</v>
      </c>
      <c r="J6" s="46"/>
      <c r="K6" s="46"/>
      <c r="L6" s="46"/>
      <c r="M6" s="46"/>
      <c r="N6" s="47"/>
      <c r="O6" s="32"/>
      <c r="P6" s="33">
        <v>45657</v>
      </c>
      <c r="Q6" s="32"/>
      <c r="R6" s="48" t="e">
        <f t="shared" ref="R6:R10" si="0">IF(Q6/O6*100&lt;=130,Q6/O6*100,130)</f>
        <v>#DIV/0!</v>
      </c>
      <c r="S6" s="35" t="e">
        <f t="shared" ref="S6:S10" si="1">(IF(R6&lt;0,0,IF(R6&lt;80,(R6/80*2),IF(R6&lt;90,2+((R6-80)/10),IF(R6&lt;110,3+((R6-90)/20*0.5),IF(R6&lt;120,3.5+((R6-110)/10*1),IF(R6&lt;130,4.5+((R6-120)/10*0.5),5)))))))</f>
        <v>#DIV/0!</v>
      </c>
      <c r="T6" s="49" t="e">
        <f t="shared" ref="T6" si="2">IF(S6="","",S6*G6/$H$51)</f>
        <v>#DIV/0!</v>
      </c>
    </row>
    <row r="7" spans="1:20" x14ac:dyDescent="0.35">
      <c r="A7" s="50"/>
      <c r="B7" s="51"/>
      <c r="C7" s="52"/>
      <c r="D7" s="53"/>
      <c r="E7" s="53"/>
      <c r="F7" s="51"/>
      <c r="G7" s="28">
        <v>5</v>
      </c>
      <c r="H7" s="29" t="s">
        <v>28</v>
      </c>
      <c r="I7" s="54" t="s">
        <v>29</v>
      </c>
      <c r="J7" s="54"/>
      <c r="K7" s="54"/>
      <c r="L7" s="54"/>
      <c r="M7" s="54"/>
      <c r="N7" s="55"/>
      <c r="O7" s="56"/>
      <c r="P7" s="33">
        <v>45657</v>
      </c>
      <c r="Q7" s="56"/>
      <c r="R7" s="48" t="e">
        <f t="shared" si="0"/>
        <v>#DIV/0!</v>
      </c>
      <c r="S7" s="35" t="e">
        <f t="shared" si="1"/>
        <v>#DIV/0!</v>
      </c>
      <c r="T7" s="49" t="e">
        <f t="shared" ref="T7:T10" si="3">IF(S7="","",S7*G7/$H$54)</f>
        <v>#DIV/0!</v>
      </c>
    </row>
    <row r="8" spans="1:20" x14ac:dyDescent="0.35">
      <c r="A8" s="50"/>
      <c r="B8" s="51"/>
      <c r="C8" s="57"/>
      <c r="D8" s="58"/>
      <c r="E8" s="58"/>
      <c r="F8" s="59"/>
      <c r="G8" s="28">
        <v>10</v>
      </c>
      <c r="H8" s="29" t="s">
        <v>30</v>
      </c>
      <c r="I8" s="54" t="s">
        <v>31</v>
      </c>
      <c r="J8" s="54"/>
      <c r="K8" s="54"/>
      <c r="L8" s="54"/>
      <c r="M8" s="54"/>
      <c r="N8" s="55"/>
      <c r="O8" s="56"/>
      <c r="P8" s="33">
        <v>45657</v>
      </c>
      <c r="Q8" s="56"/>
      <c r="R8" s="48" t="e">
        <f>IF(Q8/O8*100&lt;=130,Q8/O8*100,130)</f>
        <v>#DIV/0!</v>
      </c>
      <c r="S8" s="35" t="e">
        <f>(IF(R8&lt;0,0,IF(R8&lt;80,(R8/80*2),IF(R8&lt;90,2+((R8-80)/10),IF(R8&lt;110,3+((R8-90)/20*0.5),IF(R8&lt;120,3.5+((R8-110)/10*1),IF(R8&lt;130,4.5+((R8-120)/10*0.5),5)))))))</f>
        <v>#DIV/0!</v>
      </c>
      <c r="T8" s="49" t="e">
        <f t="shared" si="3"/>
        <v>#DIV/0!</v>
      </c>
    </row>
    <row r="9" spans="1:20" x14ac:dyDescent="0.35">
      <c r="A9" s="50"/>
      <c r="B9" s="51"/>
      <c r="C9" s="60" t="s">
        <v>32</v>
      </c>
      <c r="D9" s="27" t="s">
        <v>33</v>
      </c>
      <c r="E9" s="27"/>
      <c r="F9" s="25"/>
      <c r="G9" s="28">
        <v>10</v>
      </c>
      <c r="H9" s="29" t="s">
        <v>25</v>
      </c>
      <c r="I9" s="30" t="s">
        <v>34</v>
      </c>
      <c r="J9" s="30"/>
      <c r="K9" s="30"/>
      <c r="L9" s="30"/>
      <c r="M9" s="30"/>
      <c r="N9" s="31"/>
      <c r="O9" s="61">
        <v>0.95</v>
      </c>
      <c r="P9" s="33">
        <v>45657</v>
      </c>
      <c r="Q9" s="61"/>
      <c r="R9" s="48">
        <f t="shared" si="0"/>
        <v>0</v>
      </c>
      <c r="S9" s="35">
        <f t="shared" si="1"/>
        <v>0</v>
      </c>
      <c r="T9" s="49" t="e">
        <f t="shared" si="3"/>
        <v>#DIV/0!</v>
      </c>
    </row>
    <row r="10" spans="1:20" x14ac:dyDescent="0.35">
      <c r="A10" s="62"/>
      <c r="B10" s="59"/>
      <c r="C10" s="57"/>
      <c r="D10" s="58"/>
      <c r="E10" s="58"/>
      <c r="F10" s="59"/>
      <c r="G10" s="28">
        <v>10</v>
      </c>
      <c r="H10" s="29" t="s">
        <v>28</v>
      </c>
      <c r="I10" s="30" t="s">
        <v>35</v>
      </c>
      <c r="J10" s="30"/>
      <c r="K10" s="30"/>
      <c r="L10" s="30"/>
      <c r="M10" s="30"/>
      <c r="N10" s="31"/>
      <c r="O10" s="56">
        <v>85</v>
      </c>
      <c r="P10" s="33">
        <v>45657</v>
      </c>
      <c r="Q10" s="56"/>
      <c r="R10" s="48">
        <f t="shared" si="0"/>
        <v>0</v>
      </c>
      <c r="S10" s="35">
        <f t="shared" si="1"/>
        <v>0</v>
      </c>
      <c r="T10" s="49" t="e">
        <f t="shared" si="3"/>
        <v>#DIV/0!</v>
      </c>
    </row>
    <row r="11" spans="1:20" x14ac:dyDescent="0.35">
      <c r="A11" s="37" t="s">
        <v>36</v>
      </c>
      <c r="B11" s="38"/>
      <c r="C11" s="38"/>
      <c r="D11" s="38"/>
      <c r="E11" s="38"/>
      <c r="F11" s="39"/>
      <c r="G11" s="40">
        <f>SUM(G6:G10)</f>
        <v>40</v>
      </c>
      <c r="H11" s="41" t="s">
        <v>37</v>
      </c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3"/>
      <c r="T11" s="44" t="e">
        <f>SUM(T6:T10)</f>
        <v>#DIV/0!</v>
      </c>
    </row>
    <row r="12" spans="1:20" x14ac:dyDescent="0.35">
      <c r="A12" s="24" t="s">
        <v>38</v>
      </c>
      <c r="B12" s="25"/>
      <c r="C12" s="63" t="s">
        <v>25</v>
      </c>
      <c r="D12" s="27" t="s">
        <v>39</v>
      </c>
      <c r="E12" s="27"/>
      <c r="F12" s="25"/>
      <c r="G12" s="28">
        <v>10</v>
      </c>
      <c r="H12" s="29" t="s">
        <v>25</v>
      </c>
      <c r="I12" s="30" t="s">
        <v>40</v>
      </c>
      <c r="J12" s="30"/>
      <c r="K12" s="30"/>
      <c r="L12" s="30"/>
      <c r="M12" s="30"/>
      <c r="N12" s="31"/>
      <c r="O12" s="61">
        <v>1</v>
      </c>
      <c r="P12" s="33">
        <v>45657</v>
      </c>
      <c r="Q12" s="61"/>
      <c r="R12" s="48">
        <f t="shared" ref="R12:R17" si="4">IF(Q12/O12*100&lt;=130,Q12/O12*100,130)</f>
        <v>0</v>
      </c>
      <c r="S12" s="35">
        <f t="shared" ref="S12:S17" si="5">(IF(R12&lt;0,0,IF(R12&lt;80,(R12/80*2),IF(R12&lt;90,2+((R12-80)/10),IF(R12&lt;110,3+((R12-90)/20*0.5),IF(R12&lt;120,3.5+((R12-110)/10*1),IF(R12&lt;130,4.5+((R12-120)/10*0.5),5)))))))</f>
        <v>0</v>
      </c>
      <c r="T12" s="49" t="e">
        <f>IF(S12="","",S12*G12/$H$54)</f>
        <v>#DIV/0!</v>
      </c>
    </row>
    <row r="13" spans="1:20" x14ac:dyDescent="0.35">
      <c r="A13" s="50"/>
      <c r="B13" s="51"/>
      <c r="C13" s="64"/>
      <c r="D13" s="53"/>
      <c r="E13" s="53"/>
      <c r="F13" s="51"/>
      <c r="G13" s="28">
        <v>5</v>
      </c>
      <c r="H13" s="29" t="s">
        <v>28</v>
      </c>
      <c r="I13" s="30" t="s">
        <v>41</v>
      </c>
      <c r="J13" s="30"/>
      <c r="K13" s="30"/>
      <c r="L13" s="30"/>
      <c r="M13" s="30"/>
      <c r="N13" s="31"/>
      <c r="O13" s="61">
        <v>1</v>
      </c>
      <c r="P13" s="33">
        <v>45657</v>
      </c>
      <c r="Q13" s="61"/>
      <c r="R13" s="48">
        <f t="shared" si="4"/>
        <v>0</v>
      </c>
      <c r="S13" s="35">
        <f t="shared" si="5"/>
        <v>0</v>
      </c>
      <c r="T13" s="49" t="e">
        <f t="shared" ref="T13:T17" si="6">IF(S13="","",S13*G13/$H$54)</f>
        <v>#DIV/0!</v>
      </c>
    </row>
    <row r="14" spans="1:20" x14ac:dyDescent="0.35">
      <c r="A14" s="50"/>
      <c r="B14" s="51"/>
      <c r="C14" s="60"/>
      <c r="D14" s="65"/>
      <c r="E14" s="65"/>
      <c r="F14" s="66"/>
      <c r="G14" s="28">
        <v>10</v>
      </c>
      <c r="H14" s="29" t="s">
        <v>30</v>
      </c>
      <c r="I14" s="30" t="s">
        <v>42</v>
      </c>
      <c r="J14" s="30"/>
      <c r="K14" s="30"/>
      <c r="L14" s="30"/>
      <c r="M14" s="30"/>
      <c r="N14" s="31"/>
      <c r="O14" s="61">
        <v>1</v>
      </c>
      <c r="P14" s="33">
        <v>45657</v>
      </c>
      <c r="Q14" s="61"/>
      <c r="R14" s="48">
        <f t="shared" si="4"/>
        <v>0</v>
      </c>
      <c r="S14" s="35">
        <f t="shared" si="5"/>
        <v>0</v>
      </c>
      <c r="T14" s="49" t="e">
        <f t="shared" si="6"/>
        <v>#DIV/0!</v>
      </c>
    </row>
    <row r="15" spans="1:20" x14ac:dyDescent="0.35">
      <c r="A15" s="50"/>
      <c r="B15" s="51"/>
      <c r="C15" s="63" t="s">
        <v>28</v>
      </c>
      <c r="D15" s="27" t="s">
        <v>43</v>
      </c>
      <c r="E15" s="27"/>
      <c r="F15" s="25"/>
      <c r="G15" s="67">
        <v>15</v>
      </c>
      <c r="H15" s="29" t="s">
        <v>25</v>
      </c>
      <c r="I15" s="30" t="s">
        <v>44</v>
      </c>
      <c r="J15" s="30"/>
      <c r="K15" s="30"/>
      <c r="L15" s="30"/>
      <c r="M15" s="30"/>
      <c r="N15" s="31"/>
      <c r="O15" s="68"/>
      <c r="P15" s="33">
        <v>45657</v>
      </c>
      <c r="Q15" s="68"/>
      <c r="R15" s="48" t="e">
        <f t="shared" si="4"/>
        <v>#DIV/0!</v>
      </c>
      <c r="S15" s="35" t="e">
        <f t="shared" si="5"/>
        <v>#DIV/0!</v>
      </c>
      <c r="T15" s="49" t="e">
        <f t="shared" si="6"/>
        <v>#DIV/0!</v>
      </c>
    </row>
    <row r="16" spans="1:20" x14ac:dyDescent="0.35">
      <c r="A16" s="50"/>
      <c r="B16" s="51"/>
      <c r="C16" s="64"/>
      <c r="D16" s="53"/>
      <c r="E16" s="53"/>
      <c r="F16" s="51"/>
      <c r="G16" s="67">
        <v>5</v>
      </c>
      <c r="H16" s="29" t="s">
        <v>28</v>
      </c>
      <c r="I16" s="30" t="s">
        <v>45</v>
      </c>
      <c r="J16" s="30"/>
      <c r="K16" s="30"/>
      <c r="L16" s="30"/>
      <c r="M16" s="30"/>
      <c r="N16" s="31"/>
      <c r="O16" s="61">
        <v>1</v>
      </c>
      <c r="P16" s="33">
        <v>45657</v>
      </c>
      <c r="Q16" s="61"/>
      <c r="R16" s="48">
        <f t="shared" si="4"/>
        <v>0</v>
      </c>
      <c r="S16" s="35">
        <f t="shared" si="5"/>
        <v>0</v>
      </c>
      <c r="T16" s="49" t="e">
        <f t="shared" si="6"/>
        <v>#DIV/0!</v>
      </c>
    </row>
    <row r="17" spans="1:20" x14ac:dyDescent="0.35">
      <c r="A17" s="62"/>
      <c r="B17" s="59"/>
      <c r="C17" s="69"/>
      <c r="D17" s="58"/>
      <c r="E17" s="58"/>
      <c r="F17" s="59"/>
      <c r="G17" s="28">
        <v>10</v>
      </c>
      <c r="H17" s="29" t="s">
        <v>30</v>
      </c>
      <c r="I17" s="30" t="s">
        <v>46</v>
      </c>
      <c r="J17" s="30"/>
      <c r="K17" s="30"/>
      <c r="L17" s="30"/>
      <c r="M17" s="30"/>
      <c r="N17" s="30"/>
      <c r="O17" s="70">
        <v>1</v>
      </c>
      <c r="P17" s="33">
        <v>45657</v>
      </c>
      <c r="Q17" s="61"/>
      <c r="R17" s="48">
        <f t="shared" si="4"/>
        <v>0</v>
      </c>
      <c r="S17" s="35">
        <f t="shared" si="5"/>
        <v>0</v>
      </c>
      <c r="T17" s="49" t="e">
        <f t="shared" si="6"/>
        <v>#DIV/0!</v>
      </c>
    </row>
    <row r="18" spans="1:20" x14ac:dyDescent="0.35">
      <c r="A18" s="37" t="s">
        <v>47</v>
      </c>
      <c r="B18" s="38"/>
      <c r="C18" s="38"/>
      <c r="D18" s="38"/>
      <c r="E18" s="38"/>
      <c r="F18" s="39"/>
      <c r="G18" s="40">
        <f>SUM(G12:G17)</f>
        <v>55</v>
      </c>
      <c r="H18" s="41" t="s">
        <v>48</v>
      </c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3"/>
      <c r="T18" s="44" t="e">
        <f>SUM(T12:T17)</f>
        <v>#DIV/0!</v>
      </c>
    </row>
    <row r="19" spans="1:20" x14ac:dyDescent="0.35">
      <c r="A19" s="24" t="s">
        <v>49</v>
      </c>
      <c r="B19" s="25"/>
      <c r="C19" s="71" t="s">
        <v>50</v>
      </c>
      <c r="D19" s="72"/>
      <c r="E19" s="72"/>
      <c r="F19" s="73"/>
      <c r="G19" s="74">
        <v>5</v>
      </c>
      <c r="H19" s="75" t="s">
        <v>51</v>
      </c>
      <c r="I19" s="76"/>
      <c r="J19" s="76"/>
      <c r="K19" s="76"/>
      <c r="L19" s="76"/>
      <c r="M19" s="76"/>
      <c r="N19" s="77"/>
      <c r="O19" s="78">
        <v>1</v>
      </c>
      <c r="P19" s="33">
        <v>45657</v>
      </c>
      <c r="Q19" s="61"/>
      <c r="R19" s="48">
        <f>IF(Q19/O19*100&lt;=130,Q19/O19*100,130)</f>
        <v>0</v>
      </c>
      <c r="S19" s="35">
        <f>(IF(R19&lt;0,0,IF(R19&lt;80,(R19/80*2),IF(R19&lt;90,2+((R19-80)/10),IF(R19&lt;110,3+((R19-90)/20*0.5),IF(R19&lt;120,3.5+((R19-110)/10*1),IF(R19&lt;130,4.5+((R19-120)/10*0.5),5)))))))</f>
        <v>0</v>
      </c>
      <c r="T19" s="49" t="e">
        <f>IF(S19="","",S19*G19/$H$54)</f>
        <v>#DIV/0!</v>
      </c>
    </row>
    <row r="20" spans="1:20" x14ac:dyDescent="0.35">
      <c r="A20" s="37" t="s">
        <v>52</v>
      </c>
      <c r="B20" s="38"/>
      <c r="C20" s="38"/>
      <c r="D20" s="38"/>
      <c r="E20" s="38"/>
      <c r="F20" s="39"/>
      <c r="G20" s="40">
        <f>SUM(G19:G19)</f>
        <v>5</v>
      </c>
      <c r="H20" s="41" t="s">
        <v>53</v>
      </c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3"/>
      <c r="T20" s="44" t="e">
        <f>SUM(T19:T19)</f>
        <v>#DIV/0!</v>
      </c>
    </row>
    <row r="21" spans="1:20" x14ac:dyDescent="0.35">
      <c r="A21" s="20"/>
      <c r="B21" s="21"/>
      <c r="C21" s="21"/>
      <c r="D21" s="21"/>
      <c r="E21" s="21"/>
      <c r="F21" s="21"/>
      <c r="G21" s="79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3"/>
    </row>
    <row r="22" spans="1:20" x14ac:dyDescent="0.35">
      <c r="A22" s="80"/>
      <c r="B22" s="81"/>
      <c r="C22" s="81"/>
      <c r="D22" s="81"/>
      <c r="E22" s="81"/>
      <c r="F22" s="82"/>
      <c r="G22" s="83"/>
      <c r="H22" s="84"/>
      <c r="I22" s="85"/>
      <c r="J22" s="85"/>
      <c r="K22" s="85"/>
      <c r="L22" s="85"/>
      <c r="M22" s="85"/>
      <c r="N22" s="85"/>
      <c r="O22" s="85"/>
      <c r="P22" s="85"/>
      <c r="Q22" s="85"/>
      <c r="R22" s="85"/>
      <c r="S22" s="86"/>
      <c r="T22" s="87"/>
    </row>
    <row r="23" spans="1:20" x14ac:dyDescent="0.35">
      <c r="A23" s="88" t="s">
        <v>54</v>
      </c>
      <c r="B23" s="89"/>
      <c r="C23" s="89"/>
      <c r="D23" s="89"/>
      <c r="E23" s="89"/>
      <c r="F23" s="90"/>
      <c r="G23" s="91">
        <f>G5+G11+G18+G20</f>
        <v>100</v>
      </c>
      <c r="H23" s="92"/>
      <c r="I23" s="89" t="s">
        <v>55</v>
      </c>
      <c r="J23" s="89"/>
      <c r="K23" s="89"/>
      <c r="L23" s="89"/>
      <c r="M23" s="89"/>
      <c r="N23" s="89"/>
      <c r="O23" s="89"/>
      <c r="P23" s="89"/>
      <c r="Q23" s="89"/>
      <c r="R23" s="89"/>
      <c r="S23" s="90"/>
      <c r="T23" s="93" t="e">
        <f>T5+T11+T18+T20</f>
        <v>#DIV/0!</v>
      </c>
    </row>
    <row r="24" spans="1:20" ht="15" thickBot="1" x14ac:dyDescent="0.4">
      <c r="A24" s="94"/>
      <c r="B24" s="95"/>
      <c r="C24" s="95"/>
      <c r="D24" s="95"/>
      <c r="E24" s="95"/>
      <c r="F24" s="96"/>
      <c r="G24" s="97"/>
      <c r="H24" s="97"/>
      <c r="I24" s="98"/>
      <c r="J24" s="98"/>
      <c r="K24" s="98"/>
      <c r="L24" s="98"/>
      <c r="M24" s="98"/>
      <c r="N24" s="98"/>
      <c r="O24" s="98"/>
      <c r="P24" s="98"/>
      <c r="Q24" s="98"/>
      <c r="R24" s="98"/>
      <c r="S24" s="99"/>
      <c r="T24" s="100"/>
    </row>
  </sheetData>
  <protectedRanges>
    <protectedRange sqref="P4" name="Range1_5_3"/>
    <protectedRange sqref="P7 P9:P10" name="Range1_5_3_1"/>
    <protectedRange sqref="P12:P17" name="Range1_5_3_2"/>
    <protectedRange sqref="P19" name="Range1_5_3_3"/>
    <protectedRange sqref="P6" name="Range1_5_3_1_2"/>
  </protectedRanges>
  <mergeCells count="43">
    <mergeCell ref="I22:S22"/>
    <mergeCell ref="A23:F23"/>
    <mergeCell ref="I23:S23"/>
    <mergeCell ref="I24:S24"/>
    <mergeCell ref="A18:F18"/>
    <mergeCell ref="H18:S18"/>
    <mergeCell ref="A19:B19"/>
    <mergeCell ref="C19:F19"/>
    <mergeCell ref="H19:N19"/>
    <mergeCell ref="A20:F20"/>
    <mergeCell ref="H20:S20"/>
    <mergeCell ref="I14:N14"/>
    <mergeCell ref="C15:C17"/>
    <mergeCell ref="D15:F17"/>
    <mergeCell ref="I15:N15"/>
    <mergeCell ref="I16:N16"/>
    <mergeCell ref="I17:N17"/>
    <mergeCell ref="D9:F10"/>
    <mergeCell ref="I9:N9"/>
    <mergeCell ref="I10:N10"/>
    <mergeCell ref="A11:F11"/>
    <mergeCell ref="H11:S11"/>
    <mergeCell ref="A12:B17"/>
    <mergeCell ref="C12:C13"/>
    <mergeCell ref="D12:F13"/>
    <mergeCell ref="I12:N12"/>
    <mergeCell ref="I13:N13"/>
    <mergeCell ref="A4:B4"/>
    <mergeCell ref="C4:F4"/>
    <mergeCell ref="I4:N4"/>
    <mergeCell ref="A5:F5"/>
    <mergeCell ref="H5:S5"/>
    <mergeCell ref="A6:B10"/>
    <mergeCell ref="D6:F8"/>
    <mergeCell ref="I6:N6"/>
    <mergeCell ref="I7:N7"/>
    <mergeCell ref="I8:N8"/>
    <mergeCell ref="A1:B1"/>
    <mergeCell ref="C1:F1"/>
    <mergeCell ref="H1:N1"/>
    <mergeCell ref="A2:B2"/>
    <mergeCell ref="C2:F2"/>
    <mergeCell ref="I2: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2026-04-27T03:39:30Z</dcterms:created>
  <dcterms:modified xsi:type="dcterms:W3CDTF">2026-04-27T03:40:09Z</dcterms:modified>
</cp:coreProperties>
</file>